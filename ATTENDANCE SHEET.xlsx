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EXCEL FILES\"/>
    </mc:Choice>
  </mc:AlternateContent>
  <xr:revisionPtr revIDLastSave="0" documentId="8_{C5B6975F-DB6A-43F3-9CA2-4384C9901A2B}" xr6:coauthVersionLast="47" xr6:coauthVersionMax="47" xr10:uidLastSave="{00000000-0000-0000-0000-000000000000}"/>
  <bookViews>
    <workbookView xWindow="-108" yWindow="-108" windowWidth="23256" windowHeight="12456" xr2:uid="{D63D455E-4627-4EA9-881C-8B00295D9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L8" i="1"/>
  <c r="AK8" i="1"/>
  <c r="B5" i="1"/>
  <c r="C5" i="1" s="1"/>
  <c r="E7" i="1" l="1"/>
  <c r="F7" i="1" l="1"/>
  <c r="E5" i="1"/>
  <c r="G7" i="1" l="1"/>
  <c r="F5" i="1"/>
  <c r="H7" i="1" l="1"/>
  <c r="G5" i="1"/>
  <c r="I7" i="1" l="1"/>
  <c r="H5" i="1"/>
  <c r="J7" i="1" l="1"/>
  <c r="I5" i="1"/>
  <c r="K7" i="1" l="1"/>
  <c r="J5" i="1"/>
  <c r="L7" i="1" l="1"/>
  <c r="K5" i="1"/>
  <c r="M7" i="1" l="1"/>
  <c r="L5" i="1"/>
  <c r="N7" i="1" l="1"/>
  <c r="M5" i="1"/>
  <c r="O7" i="1" l="1"/>
  <c r="N5" i="1"/>
  <c r="P7" i="1" l="1"/>
  <c r="O5" i="1"/>
  <c r="Q7" i="1" l="1"/>
  <c r="P5" i="1"/>
  <c r="R7" i="1" l="1"/>
  <c r="Q5" i="1"/>
  <c r="S7" i="1" l="1"/>
  <c r="R5" i="1"/>
  <c r="T7" i="1" l="1"/>
  <c r="S5" i="1"/>
  <c r="U7" i="1" l="1"/>
  <c r="T5" i="1"/>
  <c r="V7" i="1" l="1"/>
  <c r="U5" i="1"/>
  <c r="W7" i="1" l="1"/>
  <c r="V5" i="1"/>
  <c r="X7" i="1" l="1"/>
  <c r="W5" i="1"/>
  <c r="Y7" i="1" l="1"/>
  <c r="X5" i="1"/>
  <c r="Z7" i="1" l="1"/>
  <c r="Y5" i="1"/>
  <c r="AA7" i="1" l="1"/>
  <c r="Z5" i="1"/>
  <c r="AB7" i="1" l="1"/>
  <c r="AA5" i="1"/>
  <c r="AC7" i="1" l="1"/>
  <c r="AB5" i="1"/>
  <c r="AD7" i="1" l="1"/>
  <c r="AC5" i="1"/>
  <c r="AE7" i="1" l="1"/>
  <c r="AD5" i="1"/>
  <c r="AF7" i="1" l="1"/>
  <c r="AE5" i="1"/>
  <c r="AG7" i="1" l="1"/>
  <c r="AF5" i="1"/>
  <c r="AH7" i="1" l="1"/>
  <c r="AG5" i="1"/>
  <c r="AI7" i="1" l="1"/>
  <c r="AH5" i="1"/>
  <c r="AJ7" i="1" l="1"/>
  <c r="AI5" i="1"/>
</calcChain>
</file>

<file path=xl/sharedStrings.xml><?xml version="1.0" encoding="utf-8"?>
<sst xmlns="http://schemas.openxmlformats.org/spreadsheetml/2006/main" count="9" uniqueCount="9">
  <si>
    <t>MONTH</t>
  </si>
  <si>
    <t>YEARS</t>
  </si>
  <si>
    <t>EID</t>
  </si>
  <si>
    <t>ENAME</t>
  </si>
  <si>
    <t>TOTAL(P)</t>
  </si>
  <si>
    <t>TOTAL(A)</t>
  </si>
  <si>
    <t>P</t>
  </si>
  <si>
    <t>A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</si>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</sst>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b/>
      <sz val="11"/>
      <color theme="1"/>
      <name val="Times New Roman"/>
      <family val="1"/>
    </font>
    <font>
      <b/>
      <sz val="28"/>
      <color theme="0"/>
      <name val="Algerian"/>
      <family val="5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5" borderId="12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164" fontId="2" fillId="7" borderId="0" xfId="0" applyNumberFormat="1" applyFont="1" applyFill="1"/>
    <xf numFmtId="0" fontId="4" fillId="0" borderId="0" xfId="0" applyFont="1" applyAlignment="1">
      <alignment horizontal="center" vertical="center" textRotation="90"/>
    </xf>
    <xf numFmtId="0" fontId="5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8" xfId="0" applyFont="1" applyFill="1" applyBorder="1" applyAlignment="1">
      <alignment horizontal="center" vertical="center" textRotation="90"/>
    </xf>
    <xf numFmtId="0" fontId="1" fillId="3" borderId="10" xfId="0" applyFont="1" applyFill="1" applyBorder="1" applyAlignment="1">
      <alignment horizontal="center" vertical="center" textRotation="90"/>
    </xf>
    <xf numFmtId="0" fontId="1" fillId="4" borderId="3" xfId="0" applyFont="1" applyFill="1" applyBorder="1" applyAlignment="1">
      <alignment horizontal="center" vertical="center" textRotation="90"/>
    </xf>
    <xf numFmtId="0" fontId="1" fillId="4" borderId="9" xfId="0" applyFont="1" applyFill="1" applyBorder="1" applyAlignment="1">
      <alignment horizontal="center" vertical="center" textRotation="90"/>
    </xf>
    <xf numFmtId="0" fontId="1" fillId="4" borderId="1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CA1C-10AC-4822-947E-85C41ED1DEAB}">
  <dimension ref="B1:AL23"/>
  <sheetViews>
    <sheetView showGridLines="0" tabSelected="1" zoomScale="110" zoomScaleNormal="110" workbookViewId="0">
      <selection activeCell="F8" sqref="F8"/>
    </sheetView>
  </sheetViews>
  <sheetFormatPr defaultRowHeight="14.4" x14ac:dyDescent="0.3"/>
  <cols>
    <col min="1" max="1" width="5.5546875" style="13" customWidth="1"/>
    <col min="2" max="3" width="13.44140625" style="13" customWidth="1"/>
    <col min="4" max="4" width="3.6640625" style="13" customWidth="1"/>
    <col min="5" max="35" width="4.21875" style="14" customWidth="1"/>
    <col min="36" max="36" width="4.109375" style="13" customWidth="1"/>
    <col min="37" max="38" width="6.6640625" style="13" customWidth="1"/>
    <col min="39" max="16384" width="8.88671875" style="13"/>
  </cols>
  <sheetData>
    <row r="1" spans="2:38" ht="15" thickBot="1" x14ac:dyDescent="0.35"/>
    <row r="2" spans="2:38" ht="19.2" customHeight="1" x14ac:dyDescent="0.3">
      <c r="B2" s="2" t="s">
        <v>0</v>
      </c>
      <c r="C2" s="3" t="s">
        <v>1</v>
      </c>
      <c r="E2" s="18" t="str">
        <f>"MONTHLY ATTENDANCE SHEET
 OF "&amp;B3&amp;" "&amp;C3</f>
        <v>MONTHLY ATTENDANCE SHEET
 OF FEB 2026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2:38" ht="19.2" customHeight="1" thickBot="1" x14ac:dyDescent="0.35">
      <c r="B3" s="4" t="s">
        <v>8</v>
      </c>
      <c r="C3" s="5">
        <v>2026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2:38" ht="13.8" customHeight="1" thickBot="1" x14ac:dyDescent="0.35">
      <c r="AG4" s="13"/>
      <c r="AK4" s="20" t="s">
        <v>4</v>
      </c>
      <c r="AL4" s="23" t="s">
        <v>5</v>
      </c>
    </row>
    <row r="5" spans="2:38" ht="19.8" customHeight="1" thickBot="1" x14ac:dyDescent="0.35">
      <c r="B5" s="6">
        <f>DATEVALUE("1"&amp;B3&amp;C3)</f>
        <v>46054</v>
      </c>
      <c r="C5" s="7">
        <f>EOMONTH(B5,0)</f>
        <v>46081</v>
      </c>
      <c r="E5" s="17" t="str">
        <f>TEXT(E7,"DDD")</f>
        <v>Sun</v>
      </c>
      <c r="F5" s="17" t="str">
        <f t="shared" ref="F5:AI5" si="0">TEXT(F7,"DDD")</f>
        <v>Mon</v>
      </c>
      <c r="G5" s="17" t="str">
        <f t="shared" si="0"/>
        <v>Tue</v>
      </c>
      <c r="H5" s="17" t="str">
        <f t="shared" si="0"/>
        <v>Wed</v>
      </c>
      <c r="I5" s="17" t="str">
        <f t="shared" si="0"/>
        <v>Thu</v>
      </c>
      <c r="J5" s="17" t="str">
        <f t="shared" si="0"/>
        <v>Fri</v>
      </c>
      <c r="K5" s="17" t="str">
        <f t="shared" si="0"/>
        <v>Sat</v>
      </c>
      <c r="L5" s="17" t="str">
        <f t="shared" si="0"/>
        <v>Sun</v>
      </c>
      <c r="M5" s="17" t="str">
        <f t="shared" si="0"/>
        <v>Mon</v>
      </c>
      <c r="N5" s="17" t="str">
        <f t="shared" si="0"/>
        <v>Tue</v>
      </c>
      <c r="O5" s="17" t="str">
        <f t="shared" si="0"/>
        <v>Wed</v>
      </c>
      <c r="P5" s="17" t="str">
        <f t="shared" si="0"/>
        <v>Thu</v>
      </c>
      <c r="Q5" s="17" t="str">
        <f t="shared" si="0"/>
        <v>Fri</v>
      </c>
      <c r="R5" s="17" t="str">
        <f t="shared" si="0"/>
        <v>Sat</v>
      </c>
      <c r="S5" s="17" t="str">
        <f t="shared" si="0"/>
        <v>Sun</v>
      </c>
      <c r="T5" s="17" t="str">
        <f t="shared" si="0"/>
        <v>Mon</v>
      </c>
      <c r="U5" s="17" t="str">
        <f t="shared" si="0"/>
        <v>Tue</v>
      </c>
      <c r="V5" s="17" t="str">
        <f t="shared" si="0"/>
        <v>Wed</v>
      </c>
      <c r="W5" s="17" t="str">
        <f t="shared" si="0"/>
        <v>Thu</v>
      </c>
      <c r="X5" s="17" t="str">
        <f t="shared" si="0"/>
        <v>Fri</v>
      </c>
      <c r="Y5" s="17" t="str">
        <f t="shared" si="0"/>
        <v>Sat</v>
      </c>
      <c r="Z5" s="17" t="str">
        <f t="shared" si="0"/>
        <v>Sun</v>
      </c>
      <c r="AA5" s="17" t="str">
        <f t="shared" si="0"/>
        <v>Mon</v>
      </c>
      <c r="AB5" s="17" t="str">
        <f t="shared" si="0"/>
        <v>Tue</v>
      </c>
      <c r="AC5" s="17" t="str">
        <f t="shared" si="0"/>
        <v>Wed</v>
      </c>
      <c r="AD5" s="17" t="str">
        <f t="shared" si="0"/>
        <v>Thu</v>
      </c>
      <c r="AE5" s="17" t="str">
        <f t="shared" si="0"/>
        <v>Fri</v>
      </c>
      <c r="AF5" s="17" t="str">
        <f t="shared" si="0"/>
        <v>Sat</v>
      </c>
      <c r="AG5" s="19" t="str">
        <f t="shared" si="0"/>
        <v/>
      </c>
      <c r="AH5" s="19" t="str">
        <f t="shared" si="0"/>
        <v/>
      </c>
      <c r="AI5" s="19" t="str">
        <f t="shared" si="0"/>
        <v/>
      </c>
      <c r="AK5" s="21"/>
      <c r="AL5" s="24"/>
    </row>
    <row r="6" spans="2:38" ht="13.8" customHeight="1" thickBot="1" x14ac:dyDescent="0.35"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19"/>
      <c r="AI6" s="19"/>
      <c r="AK6" s="22"/>
      <c r="AL6" s="25"/>
    </row>
    <row r="7" spans="2:38" ht="15" x14ac:dyDescent="0.3">
      <c r="B7" s="2" t="s">
        <v>2</v>
      </c>
      <c r="C7" s="2" t="s">
        <v>3</v>
      </c>
      <c r="E7" s="9">
        <f>B5</f>
        <v>46054</v>
      </c>
      <c r="F7" s="9">
        <f>IFERROR(IF(E7+1&gt;$C$5,"",E7+1),"")</f>
        <v>46055</v>
      </c>
      <c r="G7" s="9">
        <f t="shared" ref="G7:AJ7" si="1">IFERROR(IF(F7+1&gt;$C$5,"",F7+1),"")</f>
        <v>46056</v>
      </c>
      <c r="H7" s="9">
        <f t="shared" si="1"/>
        <v>46057</v>
      </c>
      <c r="I7" s="9">
        <f t="shared" si="1"/>
        <v>46058</v>
      </c>
      <c r="J7" s="9">
        <f t="shared" si="1"/>
        <v>46059</v>
      </c>
      <c r="K7" s="9">
        <f t="shared" si="1"/>
        <v>46060</v>
      </c>
      <c r="L7" s="9">
        <f t="shared" si="1"/>
        <v>46061</v>
      </c>
      <c r="M7" s="9">
        <f t="shared" si="1"/>
        <v>46062</v>
      </c>
      <c r="N7" s="9">
        <f t="shared" si="1"/>
        <v>46063</v>
      </c>
      <c r="O7" s="9">
        <f t="shared" si="1"/>
        <v>46064</v>
      </c>
      <c r="P7" s="9">
        <f t="shared" si="1"/>
        <v>46065</v>
      </c>
      <c r="Q7" s="9">
        <f t="shared" si="1"/>
        <v>46066</v>
      </c>
      <c r="R7" s="9">
        <f t="shared" si="1"/>
        <v>46067</v>
      </c>
      <c r="S7" s="9">
        <f t="shared" si="1"/>
        <v>46068</v>
      </c>
      <c r="T7" s="9">
        <f t="shared" si="1"/>
        <v>46069</v>
      </c>
      <c r="U7" s="9">
        <f t="shared" si="1"/>
        <v>46070</v>
      </c>
      <c r="V7" s="9">
        <f t="shared" si="1"/>
        <v>46071</v>
      </c>
      <c r="W7" s="9">
        <f t="shared" si="1"/>
        <v>46072</v>
      </c>
      <c r="X7" s="9">
        <f t="shared" si="1"/>
        <v>46073</v>
      </c>
      <c r="Y7" s="9">
        <f t="shared" si="1"/>
        <v>46074</v>
      </c>
      <c r="Z7" s="9">
        <f t="shared" si="1"/>
        <v>46075</v>
      </c>
      <c r="AA7" s="9">
        <f t="shared" si="1"/>
        <v>46076</v>
      </c>
      <c r="AB7" s="9">
        <f t="shared" si="1"/>
        <v>46077</v>
      </c>
      <c r="AC7" s="9">
        <f t="shared" si="1"/>
        <v>46078</v>
      </c>
      <c r="AD7" s="9">
        <f>IFERROR(IF(AC7+1&gt;$C$5,"",AC7+1),"")</f>
        <v>46079</v>
      </c>
      <c r="AE7" s="9">
        <f t="shared" si="1"/>
        <v>46080</v>
      </c>
      <c r="AF7" s="9">
        <f t="shared" si="1"/>
        <v>46081</v>
      </c>
      <c r="AG7" s="15" t="str">
        <f t="shared" si="1"/>
        <v/>
      </c>
      <c r="AH7" s="15" t="str">
        <f t="shared" si="1"/>
        <v/>
      </c>
      <c r="AI7" s="15" t="str">
        <f t="shared" si="1"/>
        <v/>
      </c>
      <c r="AJ7" s="16" t="str">
        <f t="shared" si="1"/>
        <v/>
      </c>
      <c r="AK7" s="10" t="s">
        <v>6</v>
      </c>
      <c r="AL7" s="11" t="s">
        <v>7</v>
      </c>
    </row>
    <row r="8" spans="2:38" x14ac:dyDescent="0.3">
      <c r="B8" s="8"/>
      <c r="C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K8" s="12">
        <f>COUNTIF(E8:AI8,$AK$7)</f>
        <v>0</v>
      </c>
      <c r="AL8" s="12">
        <f>COUNTIF(E8:AI8,$AL$7)</f>
        <v>0</v>
      </c>
    </row>
    <row r="9" spans="2:38" x14ac:dyDescent="0.3">
      <c r="B9" s="8"/>
      <c r="C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K9" s="12">
        <f t="shared" ref="AK9:AK23" si="2">COUNTIF(E9:AI9,$AK$7)</f>
        <v>0</v>
      </c>
      <c r="AL9" s="12">
        <f t="shared" ref="AL9:AL23" si="3">COUNTIF(E9:AI9,$AL$7)</f>
        <v>0</v>
      </c>
    </row>
    <row r="10" spans="2:38" x14ac:dyDescent="0.3">
      <c r="B10" s="8"/>
      <c r="C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K10" s="12">
        <f t="shared" si="2"/>
        <v>0</v>
      </c>
      <c r="AL10" s="12">
        <f t="shared" si="3"/>
        <v>0</v>
      </c>
    </row>
    <row r="11" spans="2:38" x14ac:dyDescent="0.3">
      <c r="B11" s="8"/>
      <c r="C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K11" s="12">
        <f t="shared" si="2"/>
        <v>0</v>
      </c>
      <c r="AL11" s="12">
        <f t="shared" si="3"/>
        <v>0</v>
      </c>
    </row>
    <row r="12" spans="2:38" x14ac:dyDescent="0.3">
      <c r="B12" s="8"/>
      <c r="C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K12" s="12">
        <f t="shared" si="2"/>
        <v>0</v>
      </c>
      <c r="AL12" s="12">
        <f t="shared" si="3"/>
        <v>0</v>
      </c>
    </row>
    <row r="13" spans="2:38" x14ac:dyDescent="0.3">
      <c r="B13" s="8"/>
      <c r="C13" s="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K13" s="12">
        <f t="shared" si="2"/>
        <v>0</v>
      </c>
      <c r="AL13" s="12">
        <f t="shared" si="3"/>
        <v>0</v>
      </c>
    </row>
    <row r="14" spans="2:38" x14ac:dyDescent="0.3">
      <c r="B14" s="8"/>
      <c r="C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K14" s="12">
        <f t="shared" si="2"/>
        <v>0</v>
      </c>
      <c r="AL14" s="12">
        <f t="shared" si="3"/>
        <v>0</v>
      </c>
    </row>
    <row r="15" spans="2:38" x14ac:dyDescent="0.3">
      <c r="B15" s="8"/>
      <c r="C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K15" s="12">
        <f t="shared" si="2"/>
        <v>0</v>
      </c>
      <c r="AL15" s="12">
        <f t="shared" si="3"/>
        <v>0</v>
      </c>
    </row>
    <row r="16" spans="2:38" x14ac:dyDescent="0.3">
      <c r="B16" s="8"/>
      <c r="C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K16" s="12">
        <f t="shared" si="2"/>
        <v>0</v>
      </c>
      <c r="AL16" s="12">
        <f t="shared" si="3"/>
        <v>0</v>
      </c>
    </row>
    <row r="17" spans="2:38" x14ac:dyDescent="0.3">
      <c r="B17" s="8"/>
      <c r="C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K17" s="12">
        <f t="shared" si="2"/>
        <v>0</v>
      </c>
      <c r="AL17" s="12">
        <f t="shared" si="3"/>
        <v>0</v>
      </c>
    </row>
    <row r="18" spans="2:38" x14ac:dyDescent="0.3">
      <c r="B18" s="8"/>
      <c r="C18" s="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K18" s="12">
        <f t="shared" si="2"/>
        <v>0</v>
      </c>
      <c r="AL18" s="12">
        <f t="shared" si="3"/>
        <v>0</v>
      </c>
    </row>
    <row r="19" spans="2:38" x14ac:dyDescent="0.3">
      <c r="B19" s="8"/>
      <c r="C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K19" s="12">
        <f t="shared" si="2"/>
        <v>0</v>
      </c>
      <c r="AL19" s="12">
        <f t="shared" si="3"/>
        <v>0</v>
      </c>
    </row>
    <row r="20" spans="2:38" x14ac:dyDescent="0.3">
      <c r="B20" s="8"/>
      <c r="C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K20" s="12">
        <f t="shared" si="2"/>
        <v>0</v>
      </c>
      <c r="AL20" s="12">
        <f t="shared" si="3"/>
        <v>0</v>
      </c>
    </row>
    <row r="21" spans="2:38" x14ac:dyDescent="0.3">
      <c r="B21" s="8"/>
      <c r="C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K21" s="12">
        <f t="shared" si="2"/>
        <v>0</v>
      </c>
      <c r="AL21" s="12">
        <f t="shared" si="3"/>
        <v>0</v>
      </c>
    </row>
    <row r="22" spans="2:38" x14ac:dyDescent="0.3">
      <c r="B22" s="8"/>
      <c r="C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K22" s="12">
        <f t="shared" si="2"/>
        <v>0</v>
      </c>
      <c r="AL22" s="12">
        <f t="shared" si="3"/>
        <v>0</v>
      </c>
    </row>
    <row r="23" spans="2:38" x14ac:dyDescent="0.3">
      <c r="B23" s="8"/>
      <c r="C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K23" s="12">
        <f t="shared" si="2"/>
        <v>0</v>
      </c>
      <c r="AL23" s="12">
        <f t="shared" si="3"/>
        <v>0</v>
      </c>
    </row>
  </sheetData>
  <mergeCells count="34">
    <mergeCell ref="E2:AI3"/>
    <mergeCell ref="AI5:AI6"/>
    <mergeCell ref="AK4:AK6"/>
    <mergeCell ref="AL4:AL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V5:V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J5:J6"/>
    <mergeCell ref="E5:E6"/>
    <mergeCell ref="F5:F6"/>
    <mergeCell ref="G5:G6"/>
    <mergeCell ref="H5:H6"/>
    <mergeCell ref="I5:I6"/>
  </mergeCells>
  <phoneticPr fontId="6" type="noConversion"/>
  <conditionalFormatting sqref="E5:AI7">
    <cfRule type="expression" dxfId="2" priority="3" stopIfTrue="1">
      <formula>E5&lt;&gt;""</formula>
    </cfRule>
  </conditionalFormatting>
  <conditionalFormatting sqref="E5:AI23">
    <cfRule type="expression" dxfId="1" priority="2">
      <formula>E$5="SUN"</formula>
    </cfRule>
  </conditionalFormatting>
  <conditionalFormatting sqref="E8:AI23">
    <cfRule type="expression" dxfId="0" priority="1">
      <formula>E$5&lt;&gt;""</formula>
    </cfRule>
  </conditionalFormatting>
  <dataValidations count="3">
    <dataValidation type="list" allowBlank="1" showInputMessage="1" showErrorMessage="1" sqref="C3" xr:uid="{ACBC548B-7C95-45F8-BB7F-790C8B9A894F}">
      <formula1>"2025,2026,2027"</formula1>
    </dataValidation>
    <dataValidation type="list" allowBlank="1" showInputMessage="1" showErrorMessage="1" sqref="B3" xr:uid="{66F8F961-0390-4BE6-B26C-CFE3F998698D}">
      <formula1>"JAN,FEB,MAR,APR,MAY,JUN,JUL,AUG,SEP,OCT,NOV,DEC"</formula1>
    </dataValidation>
    <dataValidation type="custom" allowBlank="1" showInputMessage="1" showErrorMessage="1" errorTitle="HOLIDAY" error="TODAY IS SUNDAY_x000a_" sqref="E8:AI23" xr:uid="{5AA33742-B8B6-4EB2-AE27-2B7A8F931108}">
      <formula1>E5&lt;&gt;"SUN"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dell.hwbsn04@outlook.com</dc:creator>
  <cp:lastModifiedBy>AMBUJ SINGH</cp:lastModifiedBy>
  <dcterms:created xsi:type="dcterms:W3CDTF">2026-02-28T14:09:31Z</dcterms:created>
  <dcterms:modified xsi:type="dcterms:W3CDTF">2026-08-11T20:53:54Z</dcterms:modified>
</cp:coreProperties>
</file>