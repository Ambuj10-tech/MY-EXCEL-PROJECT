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EXCEL FILES\"/>
    </mc:Choice>
  </mc:AlternateContent>
  <xr:revisionPtr revIDLastSave="0" documentId="13_ncr:1_{231D701B-6342-46A2-968A-47CDA158837B}" xr6:coauthVersionLast="47" xr6:coauthVersionMax="47" xr10:uidLastSave="{00000000-0000-0000-0000-000000000000}"/>
  <bookViews>
    <workbookView xWindow="-108" yWindow="-108" windowWidth="23256" windowHeight="12456" xr2:uid="{76B7C202-DDD9-47BD-812B-012FA56605DF}"/>
  </bookViews>
  <sheets>
    <sheet name="EMI CALCULATOR" sheetId="1" r:id="rId1"/>
    <sheet name="S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J11" i="2"/>
  <c r="J10" i="2"/>
  <c r="J15" i="1"/>
  <c r="J14" i="1"/>
  <c r="J13" i="1"/>
  <c r="J9" i="1"/>
</calcChain>
</file>

<file path=xl/sharedStrings.xml><?xml version="1.0" encoding="utf-8"?>
<sst xmlns="http://schemas.openxmlformats.org/spreadsheetml/2006/main" count="16" uniqueCount="15">
  <si>
    <t>PRICE</t>
  </si>
  <si>
    <t>DOWNPAYMENT</t>
  </si>
  <si>
    <t>LOAN AMOUNT</t>
  </si>
  <si>
    <t>ROI</t>
  </si>
  <si>
    <t>YEARS</t>
  </si>
  <si>
    <t>EMI</t>
  </si>
  <si>
    <t>IA IN EMI</t>
  </si>
  <si>
    <t>PA IN EMI</t>
  </si>
  <si>
    <t>EMI CALCULATOR</t>
  </si>
  <si>
    <t>MONTHLY INVESTMENT</t>
  </si>
  <si>
    <t>EXP. ROI</t>
  </si>
  <si>
    <t>TOTAL INVESTMENT</t>
  </si>
  <si>
    <t>TOTAL RETURN</t>
  </si>
  <si>
    <t>PROFIT</t>
  </si>
  <si>
    <t>SIP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</si>
</sst>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lgerian"/>
      <family val="5"/>
    </font>
    <font>
      <sz val="28"/>
      <color theme="0"/>
      <name val="Algerian"/>
      <family val="5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0" xfId="0" applyFill="1"/>
    <xf numFmtId="0" fontId="0" fillId="3" borderId="3" xfId="0" applyFill="1" applyBorder="1"/>
    <xf numFmtId="0" fontId="1" fillId="4" borderId="1" xfId="0" applyFont="1" applyFill="1" applyBorder="1" applyAlignment="1">
      <alignment horizontal="left" vertical="center"/>
    </xf>
    <xf numFmtId="9" fontId="1" fillId="0" borderId="1" xfId="0" applyNumberFormat="1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6" fontId="5" fillId="0" borderId="1" xfId="0" applyNumberFormat="1" applyFont="1" applyBorder="1" applyAlignment="1">
      <alignment horizontal="center" vertical="center"/>
    </xf>
    <xf numFmtId="0" fontId="0" fillId="6" borderId="2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4" xfId="0" applyFill="1" applyBorder="1"/>
    <xf numFmtId="0" fontId="0" fillId="6" borderId="6" xfId="0" applyFill="1" applyBorder="1"/>
    <xf numFmtId="0" fontId="0" fillId="6" borderId="9" xfId="0" applyFill="1" applyBorder="1"/>
    <xf numFmtId="0" fontId="0" fillId="6" borderId="8" xfId="0" applyFill="1" applyBorder="1"/>
    <xf numFmtId="0" fontId="0" fillId="6" borderId="3" xfId="0" applyFill="1" applyBorder="1"/>
    <xf numFmtId="0" fontId="0" fillId="6" borderId="0" xfId="0" applyFill="1"/>
    <xf numFmtId="0" fontId="5" fillId="7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1CB0-3EF0-401B-8C1E-1D6EE49E215B}">
  <dimension ref="G1:K16"/>
  <sheetViews>
    <sheetView showGridLines="0" tabSelected="1" workbookViewId="0">
      <selection activeCell="D8" sqref="D8"/>
    </sheetView>
  </sheetViews>
  <sheetFormatPr defaultRowHeight="14.4" x14ac:dyDescent="0.3"/>
  <cols>
    <col min="8" max="8" width="21.21875" customWidth="1"/>
    <col min="9" max="9" width="1.6640625" customWidth="1"/>
    <col min="10" max="10" width="21.21875" customWidth="1"/>
  </cols>
  <sheetData>
    <row r="1" spans="7:11" ht="15" thickBot="1" x14ac:dyDescent="0.35"/>
    <row r="2" spans="7:11" x14ac:dyDescent="0.3">
      <c r="G2" s="2"/>
      <c r="H2" s="10"/>
      <c r="I2" s="10"/>
      <c r="J2" s="10"/>
      <c r="K2" s="5"/>
    </row>
    <row r="3" spans="7:11" x14ac:dyDescent="0.3">
      <c r="G3" s="3"/>
      <c r="H3" s="27" t="s">
        <v>8</v>
      </c>
      <c r="I3" s="28"/>
      <c r="J3" s="28"/>
      <c r="K3" s="6"/>
    </row>
    <row r="4" spans="7:11" x14ac:dyDescent="0.3">
      <c r="G4" s="3"/>
      <c r="H4" s="28"/>
      <c r="I4" s="28"/>
      <c r="J4" s="28"/>
      <c r="K4" s="6"/>
    </row>
    <row r="5" spans="7:11" ht="15" thickBot="1" x14ac:dyDescent="0.35">
      <c r="G5" s="3"/>
      <c r="H5" s="9"/>
      <c r="I5" s="9"/>
      <c r="J5" s="9"/>
      <c r="K5" s="6"/>
    </row>
    <row r="6" spans="7:11" ht="24.6" customHeight="1" thickBot="1" x14ac:dyDescent="0.35">
      <c r="G6" s="3"/>
      <c r="H6" s="11" t="s">
        <v>0</v>
      </c>
      <c r="I6" s="9"/>
      <c r="J6" s="1">
        <v>1000000</v>
      </c>
      <c r="K6" s="6"/>
    </row>
    <row r="7" spans="7:11" ht="24.6" customHeight="1" thickBot="1" x14ac:dyDescent="0.35">
      <c r="G7" s="3"/>
      <c r="H7" s="11" t="s">
        <v>1</v>
      </c>
      <c r="I7" s="9"/>
      <c r="J7" s="1">
        <v>200000</v>
      </c>
      <c r="K7" s="6"/>
    </row>
    <row r="8" spans="7:11" ht="15" thickBot="1" x14ac:dyDescent="0.35">
      <c r="G8" s="3"/>
      <c r="H8" s="9"/>
      <c r="I8" s="9"/>
      <c r="J8" s="9"/>
      <c r="K8" s="6"/>
    </row>
    <row r="9" spans="7:11" ht="24.6" customHeight="1" thickBot="1" x14ac:dyDescent="0.35">
      <c r="G9" s="3"/>
      <c r="H9" s="11" t="s">
        <v>2</v>
      </c>
      <c r="I9" s="9"/>
      <c r="J9" s="1">
        <f>J6-J7</f>
        <v>800000</v>
      </c>
      <c r="K9" s="6"/>
    </row>
    <row r="10" spans="7:11" ht="24.6" customHeight="1" thickBot="1" x14ac:dyDescent="0.35">
      <c r="G10" s="3"/>
      <c r="H10" s="11" t="s">
        <v>3</v>
      </c>
      <c r="I10" s="9"/>
      <c r="J10" s="12">
        <v>0.09</v>
      </c>
      <c r="K10" s="6"/>
    </row>
    <row r="11" spans="7:11" ht="24.6" customHeight="1" thickBot="1" x14ac:dyDescent="0.35">
      <c r="G11" s="3"/>
      <c r="H11" s="11" t="s">
        <v>4</v>
      </c>
      <c r="I11" s="9"/>
      <c r="J11" s="1">
        <v>5</v>
      </c>
      <c r="K11" s="6"/>
    </row>
    <row r="12" spans="7:11" ht="15" thickBot="1" x14ac:dyDescent="0.35">
      <c r="G12" s="3"/>
      <c r="H12" s="9"/>
      <c r="I12" s="9"/>
      <c r="J12" s="9"/>
      <c r="K12" s="6"/>
    </row>
    <row r="13" spans="7:11" ht="24.6" customHeight="1" thickBot="1" x14ac:dyDescent="0.35">
      <c r="G13" s="3"/>
      <c r="H13" s="11" t="s">
        <v>5</v>
      </c>
      <c r="I13" s="9"/>
      <c r="J13" s="13">
        <f>-PMT(J10/12,J11*12,J9)</f>
        <v>16606.684181083208</v>
      </c>
      <c r="K13" s="6"/>
    </row>
    <row r="14" spans="7:11" ht="24.6" customHeight="1" thickBot="1" x14ac:dyDescent="0.35">
      <c r="G14" s="3"/>
      <c r="H14" s="11" t="s">
        <v>6</v>
      </c>
      <c r="I14" s="9"/>
      <c r="J14" s="13">
        <f>-IPMT(J10/12,1,J11*12,J9)</f>
        <v>6000</v>
      </c>
      <c r="K14" s="6"/>
    </row>
    <row r="15" spans="7:11" ht="24.6" customHeight="1" thickBot="1" x14ac:dyDescent="0.35">
      <c r="G15" s="3"/>
      <c r="H15" s="11" t="s">
        <v>7</v>
      </c>
      <c r="I15" s="9"/>
      <c r="J15" s="13">
        <f>-PPMT(J10/12,1,J11*12,J9)</f>
        <v>10606.684181083207</v>
      </c>
      <c r="K15" s="6"/>
    </row>
    <row r="16" spans="7:11" ht="15" thickBot="1" x14ac:dyDescent="0.35">
      <c r="G16" s="4"/>
      <c r="H16" s="8"/>
      <c r="I16" s="8"/>
      <c r="J16" s="8"/>
      <c r="K16" s="7"/>
    </row>
  </sheetData>
  <mergeCells count="1">
    <mergeCell ref="H3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5868-DA67-46C0-BBB6-E5D70FC91CD4}">
  <dimension ref="G1:K13"/>
  <sheetViews>
    <sheetView showGridLines="0" workbookViewId="0"/>
  </sheetViews>
  <sheetFormatPr defaultRowHeight="14.4" x14ac:dyDescent="0.3"/>
  <cols>
    <col min="8" max="8" width="26.5546875" customWidth="1"/>
    <col min="9" max="9" width="1.77734375" customWidth="1"/>
    <col min="10" max="10" width="26.5546875" customWidth="1"/>
  </cols>
  <sheetData>
    <row r="1" spans="7:11" ht="15" thickBot="1" x14ac:dyDescent="0.35"/>
    <row r="2" spans="7:11" ht="15" thickBot="1" x14ac:dyDescent="0.35">
      <c r="G2" s="17"/>
      <c r="H2" s="24"/>
      <c r="I2" s="24"/>
      <c r="J2" s="24"/>
      <c r="K2" s="20"/>
    </row>
    <row r="3" spans="7:11" ht="21" customHeight="1" x14ac:dyDescent="0.3">
      <c r="G3" s="18"/>
      <c r="H3" s="29" t="s">
        <v>14</v>
      </c>
      <c r="I3" s="30"/>
      <c r="J3" s="31"/>
      <c r="K3" s="21"/>
    </row>
    <row r="4" spans="7:11" ht="15" thickBot="1" x14ac:dyDescent="0.35">
      <c r="G4" s="18"/>
      <c r="H4" s="32"/>
      <c r="I4" s="33"/>
      <c r="J4" s="34"/>
      <c r="K4" s="21"/>
    </row>
    <row r="5" spans="7:11" ht="27.6" customHeight="1" thickBot="1" x14ac:dyDescent="0.35">
      <c r="G5" s="18"/>
      <c r="H5" s="25"/>
      <c r="I5" s="25"/>
      <c r="J5" s="25"/>
      <c r="K5" s="21"/>
    </row>
    <row r="6" spans="7:11" ht="27.6" customHeight="1" thickBot="1" x14ac:dyDescent="0.35">
      <c r="G6" s="18"/>
      <c r="H6" s="26" t="s">
        <v>9</v>
      </c>
      <c r="I6" s="25"/>
      <c r="J6" s="14">
        <v>2000</v>
      </c>
      <c r="K6" s="21"/>
    </row>
    <row r="7" spans="7:11" ht="27.6" customHeight="1" thickBot="1" x14ac:dyDescent="0.35">
      <c r="G7" s="18"/>
      <c r="H7" s="26" t="s">
        <v>10</v>
      </c>
      <c r="I7" s="25"/>
      <c r="J7" s="15">
        <v>0.12</v>
      </c>
      <c r="K7" s="21"/>
    </row>
    <row r="8" spans="7:11" ht="27.6" customHeight="1" thickBot="1" x14ac:dyDescent="0.35">
      <c r="G8" s="18"/>
      <c r="H8" s="26" t="s">
        <v>4</v>
      </c>
      <c r="I8" s="25"/>
      <c r="J8" s="14">
        <v>10</v>
      </c>
      <c r="K8" s="21"/>
    </row>
    <row r="9" spans="7:11" ht="27.6" customHeight="1" thickBot="1" x14ac:dyDescent="0.35">
      <c r="G9" s="18"/>
      <c r="H9" s="25"/>
      <c r="I9" s="25"/>
      <c r="J9" s="25"/>
      <c r="K9" s="21"/>
    </row>
    <row r="10" spans="7:11" ht="27.6" customHeight="1" thickBot="1" x14ac:dyDescent="0.35">
      <c r="G10" s="18"/>
      <c r="H10" s="26" t="s">
        <v>11</v>
      </c>
      <c r="I10" s="25"/>
      <c r="J10" s="14">
        <f>J6*J8*12</f>
        <v>240000</v>
      </c>
      <c r="K10" s="21"/>
    </row>
    <row r="11" spans="7:11" ht="27.6" customHeight="1" thickBot="1" x14ac:dyDescent="0.35">
      <c r="G11" s="18"/>
      <c r="H11" s="26" t="s">
        <v>12</v>
      </c>
      <c r="I11" s="25"/>
      <c r="J11" s="16">
        <f>-FV(J7/12,J8*12,J6,0)</f>
        <v>460077.37891473394</v>
      </c>
      <c r="K11" s="21"/>
    </row>
    <row r="12" spans="7:11" ht="27.6" customHeight="1" thickBot="1" x14ac:dyDescent="0.35">
      <c r="G12" s="18"/>
      <c r="H12" s="26" t="s">
        <v>13</v>
      </c>
      <c r="I12" s="25"/>
      <c r="J12" s="16">
        <f>J11-J10</f>
        <v>220077.37891473394</v>
      </c>
      <c r="K12" s="21"/>
    </row>
    <row r="13" spans="7:11" ht="27.6" customHeight="1" thickBot="1" x14ac:dyDescent="0.35">
      <c r="G13" s="19"/>
      <c r="H13" s="23"/>
      <c r="I13" s="23"/>
      <c r="J13" s="23"/>
      <c r="K13" s="22"/>
    </row>
  </sheetData>
  <mergeCells count="1">
    <mergeCell ref="H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 CALCULATOR</vt:lpstr>
      <vt:lpstr>SIP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AMBUJ SINGH</dc:creator>
  <cp:lastModifiedBy>AMBUJ SINGH</cp:lastModifiedBy>
  <dcterms:created xsi:type="dcterms:W3CDTF">2026-05-20T05:24:42Z</dcterms:created>
  <dcterms:modified xsi:type="dcterms:W3CDTF">2026-08-11T21:10:19Z</dcterms:modified>
</cp:coreProperties>
</file>